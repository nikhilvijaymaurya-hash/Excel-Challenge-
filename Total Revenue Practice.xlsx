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3" i="1" l="1"/>
  <c r="J6" i="1"/>
  <c r="J8" i="1"/>
  <c r="I2" i="1"/>
  <c r="I3" i="1"/>
  <c r="I4" i="1"/>
  <c r="I5" i="1"/>
  <c r="I6" i="1"/>
  <c r="I7" i="1"/>
  <c r="I8" i="1"/>
  <c r="I9" i="1"/>
  <c r="H2" i="1"/>
  <c r="J2" i="1" s="1"/>
  <c r="H3" i="1"/>
  <c r="H4" i="1"/>
  <c r="J4" i="1" s="1"/>
  <c r="H5" i="1"/>
  <c r="J5" i="1" s="1"/>
  <c r="H6" i="1"/>
  <c r="H7" i="1"/>
  <c r="J7" i="1" s="1"/>
  <c r="H8" i="1"/>
  <c r="H9" i="1"/>
  <c r="J9" i="1" s="1"/>
  <c r="H10" i="1" l="1"/>
</calcChain>
</file>

<file path=xl/sharedStrings.xml><?xml version="1.0" encoding="utf-8"?>
<sst xmlns="http://schemas.openxmlformats.org/spreadsheetml/2006/main" count="42" uniqueCount="26">
  <si>
    <t>Order ID</t>
  </si>
  <si>
    <t>Date</t>
  </si>
  <si>
    <t>Customer Type</t>
  </si>
  <si>
    <t>Product</t>
  </si>
  <si>
    <t>Qty</t>
  </si>
  <si>
    <t>Unit Price</t>
  </si>
  <si>
    <t>Shipping Type</t>
  </si>
  <si>
    <t>ORD-101</t>
  </si>
  <si>
    <t>Member</t>
  </si>
  <si>
    <t>Wireless Mouse</t>
  </si>
  <si>
    <t>Standard</t>
  </si>
  <si>
    <t>ORD-102</t>
  </si>
  <si>
    <t>Guest</t>
  </si>
  <si>
    <t>Mechanical Keyboard</t>
  </si>
  <si>
    <t>Express</t>
  </si>
  <si>
    <t>ORD-103</t>
  </si>
  <si>
    <t>27" Monitor</t>
  </si>
  <si>
    <t>ORD-104</t>
  </si>
  <si>
    <t>ORD-105</t>
  </si>
  <si>
    <t>USB-C Hub</t>
  </si>
  <si>
    <t>ORD-106</t>
  </si>
  <si>
    <t>ORD-107</t>
  </si>
  <si>
    <t>ORD-108</t>
  </si>
  <si>
    <t>Total Revenue</t>
  </si>
  <si>
    <t>Shipping Fee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</si>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</sst>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/>
      <top style="medium">
        <color rgb="FFC4C7C5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  <xf numFmtId="0" fontId="0" fillId="0" borderId="10" xfId="0" applyBorder="1"/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14" fontId="2" fillId="0" borderId="8" xfId="0" applyNumberFormat="1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9" fontId="2" fillId="0" borderId="1" xfId="1" applyNumberFormat="1" applyFont="1" applyBorder="1" applyAlignment="1">
      <alignment horizontal="left" vertical="center" wrapText="1" indent="1"/>
    </xf>
    <xf numFmtId="169" fontId="2" fillId="0" borderId="8" xfId="1" applyNumberFormat="1" applyFont="1" applyBorder="1" applyAlignment="1">
      <alignment horizontal="left" vertical="center" wrapText="1" indent="1"/>
    </xf>
    <xf numFmtId="169" fontId="2" fillId="0" borderId="0" xfId="1" applyNumberFormat="1" applyFont="1" applyAlignment="1">
      <alignment horizontal="left" vertical="center" wrapText="1" indent="1"/>
    </xf>
    <xf numFmtId="169" fontId="2" fillId="0" borderId="0" xfId="1" applyNumberFormat="1" applyFont="1" applyBorder="1" applyAlignment="1">
      <alignment horizontal="left" vertical="center" wrapText="1" indent="1"/>
    </xf>
  </cellXfs>
  <cellStyles count="2">
    <cellStyle name="Currency" xfId="1" builtinId="4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(&quot;$&quot;* #,##0_);_(&quot;$&quot;* \(#,##0\);_(&quot;$&quot;* &quot;-&quot;??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(&quot;$&quot;* #,##0_);_(&quot;$&quot;* \(#,##0\);_(&quot;$&quot;* &quot;-&quot;??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(&quot;$&quot;* #,##0_);_(&quot;$&quot;* \(#,##0\);_(&quot;$&quot;* &quot;-&quot;??_);_(@_)"/>
      <alignment horizontal="left" vertical="center" textRotation="0" wrapText="1" indent="1" justifyLastLine="0" shrinkToFit="0" readingOrder="0"/>
    </dxf>
    <dxf>
      <border diagonalUp="0" diagonalDown="0" outline="0">
        <left/>
        <right/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(&quot;$&quot;* #,##0_);_(&quot;$&quot;* \(#,##0\);_(&quot;$&quot;* &quot;-&quot;??_);_(@_)"/>
      <alignment horizontal="left" vertical="center" textRotation="0" wrapText="1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/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(&quot;$&quot;* #,##0_);_(&quot;$&quot;* \(#,##0\);_(&quot;$&quot;* &quot;-&quot;??_);_(@_)"/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C4C7C5"/>
        </right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(&quot;$&quot;* #,##0_);_(&quot;$&quot;* \(#,##0\);_(&quot;$&quot;* &quot;-&quot;??_);_(@_)"/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 Revenue</c:v>
                </c:pt>
              </c:strCache>
            </c:strRef>
          </c:tx>
          <c:invertIfNegative val="0"/>
          <c:cat>
            <c:strRef>
              <c:f>Sheet1!$D$2:$D$9</c:f>
              <c:strCache>
                <c:ptCount val="8"/>
                <c:pt idx="0">
                  <c:v>Wireless Mouse</c:v>
                </c:pt>
                <c:pt idx="1">
                  <c:v>Mechanical Keyboard</c:v>
                </c:pt>
                <c:pt idx="2">
                  <c:v>27" Monitor</c:v>
                </c:pt>
                <c:pt idx="3">
                  <c:v>Wireless Mouse</c:v>
                </c:pt>
                <c:pt idx="4">
                  <c:v>USB-C Hub</c:v>
                </c:pt>
                <c:pt idx="5">
                  <c:v>Mechanical Keyboard</c:v>
                </c:pt>
                <c:pt idx="6">
                  <c:v>27" Monitor</c:v>
                </c:pt>
                <c:pt idx="7">
                  <c:v>USB-C Hub</c:v>
                </c:pt>
              </c:strCache>
            </c:strRef>
          </c:cat>
          <c:val>
            <c:numRef>
              <c:f>Sheet1!$H$2:$H$9</c:f>
              <c:numCache>
                <c:formatCode>_("$"* #,##0_);_("$"* \(#,##0\);_("$"* "-"??_);_(@_)</c:formatCode>
                <c:ptCount val="8"/>
                <c:pt idx="0">
                  <c:v>50</c:v>
                </c:pt>
                <c:pt idx="1">
                  <c:v>80</c:v>
                </c:pt>
                <c:pt idx="2">
                  <c:v>250</c:v>
                </c:pt>
                <c:pt idx="3">
                  <c:v>100</c:v>
                </c:pt>
                <c:pt idx="4">
                  <c:v>105</c:v>
                </c:pt>
                <c:pt idx="5">
                  <c:v>170</c:v>
                </c:pt>
                <c:pt idx="6">
                  <c:v>480</c:v>
                </c:pt>
                <c:pt idx="7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69472"/>
        <c:axId val="38571008"/>
      </c:barChart>
      <c:catAx>
        <c:axId val="38569472"/>
        <c:scaling>
          <c:orientation val="minMax"/>
        </c:scaling>
        <c:delete val="0"/>
        <c:axPos val="b"/>
        <c:majorTickMark val="out"/>
        <c:minorTickMark val="none"/>
        <c:tickLblPos val="nextTo"/>
        <c:crossAx val="38571008"/>
        <c:crosses val="autoZero"/>
        <c:auto val="1"/>
        <c:lblAlgn val="ctr"/>
        <c:lblOffset val="100"/>
        <c:noMultiLvlLbl val="0"/>
      </c:catAx>
      <c:valAx>
        <c:axId val="38571008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38569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923924</xdr:colOff>
      <xdr:row>12</xdr:row>
      <xdr:rowOff>47625</xdr:rowOff>
    </xdr:from>
    <xdr:to>
      <xdr:col>8</xdr:col>
      <xdr:colOff>457199</xdr:colOff>
      <xdr:row>30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J10" totalsRowCount="1" headerRowDxfId="15" dataDxfId="16" headerRowBorderDxfId="22" tableBorderDxfId="23" totalsRowBorderDxfId="21">
  <autoFilter ref="A1:J10"/>
  <tableColumns count="10">
    <tableColumn id="1" name="Order ID" dataDxfId="20" totalsRowDxfId="11"/>
    <tableColumn id="2" name="Date" dataDxfId="19" totalsRowDxfId="10"/>
    <tableColumn id="3" name="Customer Type" dataDxfId="18" totalsRowDxfId="9"/>
    <tableColumn id="4" name="Product" dataDxfId="17" totalsRowDxfId="8"/>
    <tableColumn id="5" name="Qty" dataDxfId="14" totalsRowDxfId="7"/>
    <tableColumn id="6" name="Unit Price" dataDxfId="13" totalsRowDxfId="6" dataCellStyle="Currency"/>
    <tableColumn id="7" name="Shipping Type" dataDxfId="12" totalsRowDxfId="5"/>
    <tableColumn id="8" name="Total Revenue" totalsRowFunction="custom" dataDxfId="2" totalsRowDxfId="4" dataCellStyle="Currency">
      <calculatedColumnFormula>(Table2[[#This Row],[Qty]]*Table2[[#This Row],[Unit Price]])</calculatedColumnFormula>
      <totalsRowFormula>SUM(H2:H9)</totalsRowFormula>
    </tableColumn>
    <tableColumn id="9" name="Shipping Fee" dataDxfId="0" totalsRowDxfId="3" dataCellStyle="Currency">
      <calculatedColumnFormula>IF(G2="Express", 15, 0)</calculatedColumnFormula>
    </tableColumn>
    <tableColumn id="10" name="Discount" dataDxfId="1" dataCellStyle="Currency">
      <calculatedColumnFormula>IF(C2="Member",Table2[[#This Row],[Total Revenue]]*10/100,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I2" sqref="I2"/>
    </sheetView>
  </sheetViews>
  <sheetFormatPr defaultRowHeight="15" x14ac:dyDescent="0.25"/>
  <cols>
    <col min="1" max="1" width="13.5703125" customWidth="1"/>
    <col min="2" max="2" width="13.85546875" customWidth="1"/>
    <col min="3" max="3" width="19.85546875" customWidth="1"/>
    <col min="4" max="4" width="17.42578125" customWidth="1"/>
    <col min="6" max="6" width="14.42578125" customWidth="1"/>
    <col min="7" max="7" width="19" customWidth="1"/>
    <col min="8" max="8" width="15.5703125" customWidth="1"/>
    <col min="9" max="9" width="20" customWidth="1"/>
    <col min="10" max="10" width="11.5703125" customWidth="1"/>
  </cols>
  <sheetData>
    <row r="1" spans="1:10" ht="30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23</v>
      </c>
      <c r="I1" s="11" t="s">
        <v>24</v>
      </c>
      <c r="J1" s="11" t="s">
        <v>25</v>
      </c>
    </row>
    <row r="2" spans="1:10" ht="15.75" thickBot="1" x14ac:dyDescent="0.3">
      <c r="A2" s="4" t="s">
        <v>7</v>
      </c>
      <c r="B2" s="2">
        <v>46174</v>
      </c>
      <c r="C2" s="1" t="s">
        <v>8</v>
      </c>
      <c r="D2" s="1" t="s">
        <v>9</v>
      </c>
      <c r="E2" s="1">
        <v>2</v>
      </c>
      <c r="F2" s="13">
        <v>25</v>
      </c>
      <c r="G2" s="5" t="s">
        <v>10</v>
      </c>
      <c r="H2" s="15">
        <f>(Table2[[#This Row],[Qty]]*Table2[[#This Row],[Unit Price]])</f>
        <v>50</v>
      </c>
      <c r="I2" s="15">
        <f t="shared" ref="I2:I9" si="0">IF(G2="Express", 15, 0)</f>
        <v>0</v>
      </c>
      <c r="J2" s="15">
        <f>IF(C2="Member",Table2[[#This Row],[Total Revenue]]*10/100, 0)</f>
        <v>5</v>
      </c>
    </row>
    <row r="3" spans="1:10" ht="29.25" thickBot="1" x14ac:dyDescent="0.3">
      <c r="A3" s="4" t="s">
        <v>11</v>
      </c>
      <c r="B3" s="2">
        <v>46174</v>
      </c>
      <c r="C3" s="1" t="s">
        <v>12</v>
      </c>
      <c r="D3" s="1" t="s">
        <v>13</v>
      </c>
      <c r="E3" s="1">
        <v>1</v>
      </c>
      <c r="F3" s="13">
        <v>80</v>
      </c>
      <c r="G3" s="5" t="s">
        <v>14</v>
      </c>
      <c r="H3" s="15">
        <f>(Table2[[#This Row],[Qty]]*Table2[[#This Row],[Unit Price]])</f>
        <v>80</v>
      </c>
      <c r="I3" s="15">
        <f t="shared" si="0"/>
        <v>15</v>
      </c>
      <c r="J3" s="15">
        <f>IF(C3="Member",Table2[[#This Row],[Total Revenue]]*10/100, 0)</f>
        <v>0</v>
      </c>
    </row>
    <row r="4" spans="1:10" ht="15.75" thickBot="1" x14ac:dyDescent="0.3">
      <c r="A4" s="4" t="s">
        <v>15</v>
      </c>
      <c r="B4" s="2">
        <v>46175</v>
      </c>
      <c r="C4" s="1" t="s">
        <v>8</v>
      </c>
      <c r="D4" s="1" t="s">
        <v>16</v>
      </c>
      <c r="E4" s="1">
        <v>1</v>
      </c>
      <c r="F4" s="13">
        <v>250</v>
      </c>
      <c r="G4" s="5" t="s">
        <v>10</v>
      </c>
      <c r="H4" s="15">
        <f>(Table2[[#This Row],[Qty]]*Table2[[#This Row],[Unit Price]])</f>
        <v>250</v>
      </c>
      <c r="I4" s="15">
        <f t="shared" si="0"/>
        <v>0</v>
      </c>
      <c r="J4" s="15">
        <f>IF(C4="Member",Table2[[#This Row],[Total Revenue]]*10/100, 0)</f>
        <v>25</v>
      </c>
    </row>
    <row r="5" spans="1:10" ht="15.75" thickBot="1" x14ac:dyDescent="0.3">
      <c r="A5" s="4" t="s">
        <v>17</v>
      </c>
      <c r="B5" s="2">
        <v>46175</v>
      </c>
      <c r="C5" s="1" t="s">
        <v>8</v>
      </c>
      <c r="D5" s="1" t="s">
        <v>9</v>
      </c>
      <c r="E5" s="1">
        <v>5</v>
      </c>
      <c r="F5" s="13">
        <v>20</v>
      </c>
      <c r="G5" s="5" t="s">
        <v>10</v>
      </c>
      <c r="H5" s="15">
        <f>(Table2[[#This Row],[Qty]]*Table2[[#This Row],[Unit Price]])</f>
        <v>100</v>
      </c>
      <c r="I5" s="15">
        <f t="shared" si="0"/>
        <v>0</v>
      </c>
      <c r="J5" s="15">
        <f>IF(C5="Member",Table2[[#This Row],[Total Revenue]]*10/100, 0)</f>
        <v>10</v>
      </c>
    </row>
    <row r="6" spans="1:10" ht="15.75" thickBot="1" x14ac:dyDescent="0.3">
      <c r="A6" s="4" t="s">
        <v>18</v>
      </c>
      <c r="B6" s="2">
        <v>46176</v>
      </c>
      <c r="C6" s="1" t="s">
        <v>12</v>
      </c>
      <c r="D6" s="1" t="s">
        <v>19</v>
      </c>
      <c r="E6" s="1">
        <v>3</v>
      </c>
      <c r="F6" s="13">
        <v>35</v>
      </c>
      <c r="G6" s="5" t="s">
        <v>14</v>
      </c>
      <c r="H6" s="15">
        <f>(Table2[[#This Row],[Qty]]*Table2[[#This Row],[Unit Price]])</f>
        <v>105</v>
      </c>
      <c r="I6" s="15">
        <f t="shared" si="0"/>
        <v>15</v>
      </c>
      <c r="J6" s="15">
        <f>IF(C6="Member",Table2[[#This Row],[Total Revenue]]*10/100, 0)</f>
        <v>0</v>
      </c>
    </row>
    <row r="7" spans="1:10" ht="29.25" thickBot="1" x14ac:dyDescent="0.3">
      <c r="A7" s="4" t="s">
        <v>20</v>
      </c>
      <c r="B7" s="2">
        <v>46177</v>
      </c>
      <c r="C7" s="1" t="s">
        <v>8</v>
      </c>
      <c r="D7" s="1" t="s">
        <v>13</v>
      </c>
      <c r="E7" s="1">
        <v>2</v>
      </c>
      <c r="F7" s="13">
        <v>85</v>
      </c>
      <c r="G7" s="5" t="s">
        <v>10</v>
      </c>
      <c r="H7" s="15">
        <f>(Table2[[#This Row],[Qty]]*Table2[[#This Row],[Unit Price]])</f>
        <v>170</v>
      </c>
      <c r="I7" s="15">
        <f t="shared" si="0"/>
        <v>0</v>
      </c>
      <c r="J7" s="15">
        <f>IF(C7="Member",Table2[[#This Row],[Total Revenue]]*10/100, 0)</f>
        <v>17</v>
      </c>
    </row>
    <row r="8" spans="1:10" ht="15.75" thickBot="1" x14ac:dyDescent="0.3">
      <c r="A8" s="4" t="s">
        <v>21</v>
      </c>
      <c r="B8" s="2">
        <v>46178</v>
      </c>
      <c r="C8" s="1" t="s">
        <v>12</v>
      </c>
      <c r="D8" s="1" t="s">
        <v>16</v>
      </c>
      <c r="E8" s="1">
        <v>2</v>
      </c>
      <c r="F8" s="13">
        <v>240</v>
      </c>
      <c r="G8" s="5" t="s">
        <v>14</v>
      </c>
      <c r="H8" s="15">
        <f>(Table2[[#This Row],[Qty]]*Table2[[#This Row],[Unit Price]])</f>
        <v>480</v>
      </c>
      <c r="I8" s="15">
        <f t="shared" si="0"/>
        <v>15</v>
      </c>
      <c r="J8" s="15">
        <f>IF(C8="Member",Table2[[#This Row],[Total Revenue]]*10/100, 0)</f>
        <v>0</v>
      </c>
    </row>
    <row r="9" spans="1:10" ht="15.75" thickBot="1" x14ac:dyDescent="0.3">
      <c r="A9" s="6" t="s">
        <v>22</v>
      </c>
      <c r="B9" s="7">
        <v>46178</v>
      </c>
      <c r="C9" s="8" t="s">
        <v>8</v>
      </c>
      <c r="D9" s="8" t="s">
        <v>19</v>
      </c>
      <c r="E9" s="8">
        <v>1</v>
      </c>
      <c r="F9" s="14">
        <v>40</v>
      </c>
      <c r="G9" s="9" t="s">
        <v>10</v>
      </c>
      <c r="H9" s="15">
        <f>(Table2[[#This Row],[Qty]]*Table2[[#This Row],[Unit Price]])</f>
        <v>40</v>
      </c>
      <c r="I9" s="15">
        <f t="shared" si="0"/>
        <v>0</v>
      </c>
      <c r="J9" s="15">
        <f>IF(C9="Member",Table2[[#This Row],[Total Revenue]]*10/100, 0)</f>
        <v>4</v>
      </c>
    </row>
    <row r="10" spans="1:10" x14ac:dyDescent="0.25">
      <c r="A10" s="6"/>
      <c r="B10" s="7"/>
      <c r="C10" s="8"/>
      <c r="D10" s="8"/>
      <c r="E10" s="8"/>
      <c r="F10" s="14"/>
      <c r="G10" s="9"/>
      <c r="H10" s="16">
        <f>SUM(H2:H9)</f>
        <v>1275</v>
      </c>
      <c r="I10" s="3"/>
      <c r="J10" s="3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vishal kumar</cp:lastModifiedBy>
  <dcterms:created xsi:type="dcterms:W3CDTF">2026-06-19T14:47:54Z</dcterms:created>
  <dcterms:modified xsi:type="dcterms:W3CDTF">2026-06-19T15:17:20Z</dcterms:modified>
</cp:coreProperties>
</file>