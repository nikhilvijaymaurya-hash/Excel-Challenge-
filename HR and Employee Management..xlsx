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 activeTab="1"/>
  </bookViews>
  <sheets>
    <sheet name="Solution" sheetId="1" r:id="rId1"/>
    <sheet name="Quetion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E9" i="1" l="1"/>
  <c r="I3" i="1"/>
  <c r="I4" i="1"/>
  <c r="I5" i="1"/>
  <c r="I6" i="1"/>
  <c r="I7" i="1"/>
  <c r="I8" i="1"/>
  <c r="I2" i="1"/>
  <c r="H3" i="1"/>
  <c r="H4" i="1"/>
  <c r="H5" i="1"/>
  <c r="H6" i="1"/>
  <c r="H7" i="1"/>
  <c r="H8" i="1"/>
  <c r="H2" i="1"/>
  <c r="G3" i="1"/>
  <c r="G4" i="1"/>
  <c r="G5" i="1"/>
  <c r="G6" i="1"/>
  <c r="G7" i="1"/>
  <c r="G8" i="1"/>
  <c r="G2" i="1"/>
</calcChain>
</file>

<file path=xl/sharedStrings.xml><?xml version="1.0" encoding="utf-8"?>
<sst xmlns="http://schemas.openxmlformats.org/spreadsheetml/2006/main" count="57" uniqueCount="27">
  <si>
    <t>Employee ID</t>
  </si>
  <si>
    <t>Name</t>
  </si>
  <si>
    <t>Department</t>
  </si>
  <si>
    <t>Performance Score (1-5)</t>
  </si>
  <si>
    <t>Current Salary ($)</t>
  </si>
  <si>
    <t>Overtime Hours</t>
  </si>
  <si>
    <t>EMP-01</t>
  </si>
  <si>
    <t>Amit</t>
  </si>
  <si>
    <t>Sales</t>
  </si>
  <si>
    <t>EMP-02</t>
  </si>
  <si>
    <t>Priya</t>
  </si>
  <si>
    <t>Marketing</t>
  </si>
  <si>
    <t>EMP-03</t>
  </si>
  <si>
    <t>Rahul</t>
  </si>
  <si>
    <t>IT</t>
  </si>
  <si>
    <t>EMP-04</t>
  </si>
  <si>
    <t>Sneha</t>
  </si>
  <si>
    <t>HR</t>
  </si>
  <si>
    <t>EMP-05</t>
  </si>
  <si>
    <t>Vikas</t>
  </si>
  <si>
    <t>EMP-06</t>
  </si>
  <si>
    <t>Ananya</t>
  </si>
  <si>
    <t>EMP-07</t>
  </si>
  <si>
    <t>Rohit</t>
  </si>
  <si>
    <t>Bonus</t>
  </si>
  <si>
    <t>Overtime Pay</t>
  </si>
  <si>
    <t>Total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</si>
</sst>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70" formatCode="_([$$-409]* #,##0_);_([$$-409]* \(#,##0\);_([$$-409]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170" fontId="2" fillId="0" borderId="1" xfId="0" applyNumberFormat="1" applyFont="1" applyBorder="1" applyAlignment="1">
      <alignment horizontal="left" vertical="center" wrapText="1" inden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44" fontId="0" fillId="0" borderId="0" xfId="1" applyFont="1"/>
    <xf numFmtId="170" fontId="0" fillId="0" borderId="0" xfId="0" applyNumberFormat="1"/>
    <xf numFmtId="0" fontId="3" fillId="0" borderId="1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tx>
            <c:strRef>
              <c:f>Solution!$C$1:$C$7</c:f>
              <c:strCache>
                <c:ptCount val="1"/>
                <c:pt idx="0">
                  <c:v>Department Sales Marketing IT HR IT Sales</c:v>
                </c:pt>
              </c:strCache>
            </c:strRef>
          </c:tx>
          <c:val>
            <c:numRef>
              <c:f>Solution!$C$8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Solution!$E$1:$E$7</c:f>
              <c:strCache>
                <c:ptCount val="1"/>
                <c:pt idx="0">
                  <c:v>Current Salary ($)  $45,000   $48,000   $65,000   $40,000   $58,000   $42,000 </c:v>
                </c:pt>
              </c:strCache>
            </c:strRef>
          </c:tx>
          <c:val>
            <c:numRef>
              <c:f>Solution!$E$8:$E$9</c:f>
              <c:numCache>
                <c:formatCode>_([$$-409]* #,##0_);_([$$-409]* \(#,##0\);_([$$-409]* "-"??_);_(@_)</c:formatCode>
                <c:ptCount val="2"/>
                <c:pt idx="0">
                  <c:v>46000</c:v>
                </c:pt>
                <c:pt idx="1">
                  <c:v>49142.857142857145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l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9</xdr:row>
      <xdr:rowOff>123825</xdr:rowOff>
    </xdr:from>
    <xdr:to>
      <xdr:col>8</xdr:col>
      <xdr:colOff>361950</xdr:colOff>
      <xdr:row>24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0.08542</cdr:x>
      <cdr:y>0.17361</cdr:y>
    </cdr:from>
    <cdr:to>
      <cdr:x>0.3</cdr:x>
      <cdr:y>0.27778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90525" y="476250"/>
          <a:ext cx="981075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/>
            <a:t>Department</a:t>
          </a:r>
        </a:p>
      </cdr:txBody>
    </cdr:sp>
  </cdr:relSizeAnchor>
  <cdr:relSizeAnchor xmlns:cdr="http://schemas.openxmlformats.org/drawingml/2006/chartDrawing">
    <cdr:from>
      <cdr:x>0.7375</cdr:x>
      <cdr:y>0.13889</cdr:y>
    </cdr:from>
    <cdr:to>
      <cdr:x>0.99375</cdr:x>
      <cdr:y>0.23264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371850" y="381000"/>
          <a:ext cx="1171575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/>
            <a:t>Current</a:t>
          </a:r>
          <a:r>
            <a:rPr lang="en-IN" sz="1100" baseline="0"/>
            <a:t> Salary</a:t>
          </a:r>
        </a:p>
        <a:p xmlns:a="http://schemas.openxmlformats.org/drawingml/2006/main">
          <a:endParaRPr lang="en-IN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0</xdr:row>
      <xdr:rowOff>438149</xdr:rowOff>
    </xdr:from>
    <xdr:to>
      <xdr:col>18</xdr:col>
      <xdr:colOff>28575</xdr:colOff>
      <xdr:row>13</xdr:row>
      <xdr:rowOff>28574</xdr:rowOff>
    </xdr:to>
    <xdr:sp macro="" textlink="">
      <xdr:nvSpPr>
        <xdr:cNvPr id="2" name="TextBox 1"/>
        <xdr:cNvSpPr txBox="1"/>
      </xdr:nvSpPr>
      <xdr:spPr>
        <a:xfrm>
          <a:off x="5572125" y="438149"/>
          <a:ext cx="5334000" cy="410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Your Assignment</a:t>
          </a:r>
        </a:p>
        <a:p>
          <a:r>
            <a:rPr lang="en-IN" b="1"/>
            <a:t>Step 1: Format &amp; Structure</a:t>
          </a:r>
        </a:p>
        <a:p>
          <a:r>
            <a:rPr lang="en-IN" b="1"/>
            <a:t>Headers:</a:t>
          </a:r>
          <a:r>
            <a:rPr lang="en-IN"/>
            <a:t> Make the top row bold, center the text, and give the headers a </a:t>
          </a:r>
          <a:r>
            <a:rPr lang="en-IN" b="1"/>
            <a:t>dark gray background fill with white text</a:t>
          </a:r>
          <a:r>
            <a:rPr lang="en-IN"/>
            <a:t>.</a:t>
          </a:r>
        </a:p>
        <a:p>
          <a:r>
            <a:rPr lang="en-IN" b="1"/>
            <a:t>Currency:</a:t>
          </a:r>
          <a:r>
            <a:rPr lang="en-IN"/>
            <a:t> Format column E (Current Salary) as </a:t>
          </a:r>
          <a:r>
            <a:rPr lang="en-IN" b="1"/>
            <a:t>Currency ($)</a:t>
          </a:r>
          <a:r>
            <a:rPr lang="en-IN"/>
            <a:t> with zero decimal places.</a:t>
          </a:r>
        </a:p>
        <a:p>
          <a:r>
            <a:rPr lang="en-IN" b="1"/>
            <a:t>Step 2: Formulas (The Core Challenge)</a:t>
          </a:r>
        </a:p>
        <a:p>
          <a:r>
            <a:rPr lang="en-IN" b="1"/>
            <a:t>Calculate Bonus ($):</a:t>
          </a:r>
          <a:r>
            <a:rPr lang="en-IN"/>
            <a:t> In cell </a:t>
          </a:r>
          <a:r>
            <a:rPr lang="en-IN" b="1"/>
            <a:t>G1</a:t>
          </a:r>
          <a:r>
            <a:rPr lang="en-IN"/>
            <a:t>, type the header Bonus. Use an IF statement: If an employee's Performance Score (Column D) is </a:t>
          </a:r>
          <a:r>
            <a:rPr lang="en-IN" b="1"/>
            <a:t>greater than or equal to 4</a:t>
          </a:r>
          <a:r>
            <a:rPr lang="en-IN"/>
            <a:t>, they get a bonus of </a:t>
          </a:r>
          <a:r>
            <a:rPr lang="en-IN" b="1"/>
            <a:t>10%</a:t>
          </a:r>
          <a:r>
            <a:rPr lang="en-IN"/>
            <a:t> of their Current Salary. Otherwise, their bonus is </a:t>
          </a:r>
          <a:r>
            <a:rPr lang="en-IN" b="1"/>
            <a:t>2%</a:t>
          </a:r>
          <a:r>
            <a:rPr lang="en-IN"/>
            <a:t> of their salary.</a:t>
          </a:r>
        </a:p>
        <a:p>
          <a:r>
            <a:rPr lang="en-IN" i="1"/>
            <a:t>Hint:</a:t>
          </a:r>
          <a:r>
            <a:rPr lang="en-IN"/>
            <a:t> =IF(D2&gt;=4, E2*0.10, E2*0.02)</a:t>
          </a:r>
        </a:p>
        <a:p>
          <a:r>
            <a:rPr lang="en-IN" b="1"/>
            <a:t>Calculate Overtime Pay ($):</a:t>
          </a:r>
          <a:r>
            <a:rPr lang="en-IN"/>
            <a:t> In cell </a:t>
          </a:r>
          <a:r>
            <a:rPr lang="en-IN" b="1"/>
            <a:t>H1</a:t>
          </a:r>
          <a:r>
            <a:rPr lang="en-IN"/>
            <a:t>, type Overtime Pay. Write a formula to multiply Overtime Hours by a fixed flat rate of </a:t>
          </a:r>
          <a:r>
            <a:rPr lang="en-IN" b="1"/>
            <a:t>$25</a:t>
          </a:r>
          <a:r>
            <a:rPr lang="en-IN"/>
            <a:t> per hour.</a:t>
          </a:r>
        </a:p>
        <a:p>
          <a:r>
            <a:rPr lang="en-IN" b="1"/>
            <a:t>Calculate Total Payout ($):</a:t>
          </a:r>
          <a:r>
            <a:rPr lang="en-IN"/>
            <a:t> In cell </a:t>
          </a:r>
          <a:r>
            <a:rPr lang="en-IN" b="1"/>
            <a:t>I1</a:t>
          </a:r>
          <a:r>
            <a:rPr lang="en-IN"/>
            <a:t>, type Total Earnings. Write a formula to add Current Salary + Bonus + Overtime Pay.</a:t>
          </a:r>
        </a:p>
        <a:p>
          <a:r>
            <a:rPr lang="en-IN" b="1"/>
            <a:t>Step 3: Summary &amp; Visualization</a:t>
          </a:r>
        </a:p>
        <a:p>
          <a:r>
            <a:rPr lang="en-IN" b="1"/>
            <a:t>The Average:</a:t>
          </a:r>
          <a:r>
            <a:rPr lang="en-IN"/>
            <a:t> At the very bottom of your data (in cell </a:t>
          </a:r>
          <a:r>
            <a:rPr lang="en-IN" b="1"/>
            <a:t>E10</a:t>
          </a:r>
          <a:r>
            <a:rPr lang="en-IN"/>
            <a:t>), use the =AVERAGE() formula to calculate the average baseline salary of your staff.</a:t>
          </a:r>
        </a:p>
        <a:p>
          <a:r>
            <a:rPr lang="en-IN" b="1"/>
            <a:t>Figure 1 (Pie Chart):</a:t>
          </a:r>
          <a:r>
            <a:rPr lang="en-IN"/>
            <a:t> Select the Department and Current Salary columns. Create a </a:t>
          </a:r>
          <a:r>
            <a:rPr lang="en-IN" b="1"/>
            <a:t>Pie Chart</a:t>
          </a:r>
          <a:r>
            <a:rPr lang="en-IN"/>
            <a:t> or </a:t>
          </a:r>
          <a:r>
            <a:rPr lang="en-IN" b="1"/>
            <a:t>Doughnut Chart</a:t>
          </a:r>
          <a:r>
            <a:rPr lang="en-IN"/>
            <a:t> showing how company salary expenses are divided across different departments.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I8" sqref="I8"/>
    </sheetView>
  </sheetViews>
  <sheetFormatPr defaultRowHeight="15" x14ac:dyDescent="0.25"/>
  <cols>
    <col min="1" max="1" width="12.140625" customWidth="1"/>
    <col min="2" max="2" width="15.140625" customWidth="1"/>
    <col min="3" max="4" width="15" customWidth="1"/>
    <col min="5" max="5" width="14.7109375" customWidth="1"/>
    <col min="6" max="6" width="18.28515625" customWidth="1"/>
    <col min="7" max="7" width="16.42578125" customWidth="1"/>
    <col min="8" max="8" width="16.5703125" customWidth="1"/>
    <col min="9" max="9" width="15.85546875" customWidth="1"/>
  </cols>
  <sheetData>
    <row r="1" spans="1:9" ht="30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24</v>
      </c>
      <c r="H1" s="4" t="s">
        <v>25</v>
      </c>
      <c r="I1" s="4" t="s">
        <v>26</v>
      </c>
    </row>
    <row r="2" spans="1:9" ht="15.75" thickBot="1" x14ac:dyDescent="0.3">
      <c r="A2" s="1" t="s">
        <v>6</v>
      </c>
      <c r="B2" s="1" t="s">
        <v>7</v>
      </c>
      <c r="C2" s="1" t="s">
        <v>8</v>
      </c>
      <c r="D2" s="1">
        <v>4</v>
      </c>
      <c r="E2" s="2">
        <v>45000</v>
      </c>
      <c r="F2" s="1">
        <v>12</v>
      </c>
      <c r="G2" s="5">
        <f>IF(D2&gt;= 4, E2*10/100, E2*2/100)</f>
        <v>4500</v>
      </c>
      <c r="H2">
        <f>F2*25</f>
        <v>300</v>
      </c>
      <c r="I2" s="6">
        <f>SUM(E2,G2,H2)</f>
        <v>49800</v>
      </c>
    </row>
    <row r="3" spans="1:9" ht="15.75" thickBot="1" x14ac:dyDescent="0.3">
      <c r="A3" s="1" t="s">
        <v>9</v>
      </c>
      <c r="B3" s="1" t="s">
        <v>10</v>
      </c>
      <c r="C3" s="1" t="s">
        <v>11</v>
      </c>
      <c r="D3" s="1">
        <v>3</v>
      </c>
      <c r="E3" s="2">
        <v>48000</v>
      </c>
      <c r="F3" s="1">
        <v>0</v>
      </c>
      <c r="G3" s="5">
        <f t="shared" ref="G3:G8" si="0">IF(D3&gt;= 4, E3*10/100, E3*2/100)</f>
        <v>960</v>
      </c>
      <c r="H3">
        <f t="shared" ref="H3:H8" si="1">F3*25</f>
        <v>0</v>
      </c>
      <c r="I3" s="6">
        <f t="shared" ref="I3:I8" si="2">SUM(E3,G3,H3)</f>
        <v>48960</v>
      </c>
    </row>
    <row r="4" spans="1:9" ht="15.75" thickBot="1" x14ac:dyDescent="0.3">
      <c r="A4" s="1" t="s">
        <v>12</v>
      </c>
      <c r="B4" s="1" t="s">
        <v>13</v>
      </c>
      <c r="C4" s="1" t="s">
        <v>14</v>
      </c>
      <c r="D4" s="1">
        <v>5</v>
      </c>
      <c r="E4" s="2">
        <v>65000</v>
      </c>
      <c r="F4" s="1">
        <v>8</v>
      </c>
      <c r="G4" s="5">
        <f t="shared" si="0"/>
        <v>6500</v>
      </c>
      <c r="H4">
        <f t="shared" si="1"/>
        <v>200</v>
      </c>
      <c r="I4" s="6">
        <f t="shared" si="2"/>
        <v>71700</v>
      </c>
    </row>
    <row r="5" spans="1:9" ht="15.75" thickBot="1" x14ac:dyDescent="0.3">
      <c r="A5" s="1" t="s">
        <v>15</v>
      </c>
      <c r="B5" s="1" t="s">
        <v>16</v>
      </c>
      <c r="C5" s="1" t="s">
        <v>17</v>
      </c>
      <c r="D5" s="1">
        <v>2</v>
      </c>
      <c r="E5" s="2">
        <v>40000</v>
      </c>
      <c r="F5" s="1">
        <v>2</v>
      </c>
      <c r="G5" s="5">
        <f t="shared" si="0"/>
        <v>800</v>
      </c>
      <c r="H5">
        <f t="shared" si="1"/>
        <v>50</v>
      </c>
      <c r="I5" s="6">
        <f t="shared" si="2"/>
        <v>40850</v>
      </c>
    </row>
    <row r="6" spans="1:9" ht="15.75" thickBot="1" x14ac:dyDescent="0.3">
      <c r="A6" s="1" t="s">
        <v>18</v>
      </c>
      <c r="B6" s="1" t="s">
        <v>19</v>
      </c>
      <c r="C6" s="1" t="s">
        <v>14</v>
      </c>
      <c r="D6" s="1">
        <v>4</v>
      </c>
      <c r="E6" s="2">
        <v>58000</v>
      </c>
      <c r="F6" s="1">
        <v>15</v>
      </c>
      <c r="G6" s="5">
        <f t="shared" si="0"/>
        <v>5800</v>
      </c>
      <c r="H6">
        <f t="shared" si="1"/>
        <v>375</v>
      </c>
      <c r="I6" s="6">
        <f t="shared" si="2"/>
        <v>64175</v>
      </c>
    </row>
    <row r="7" spans="1:9" ht="15.75" thickBot="1" x14ac:dyDescent="0.3">
      <c r="A7" s="1" t="s">
        <v>20</v>
      </c>
      <c r="B7" s="1" t="s">
        <v>21</v>
      </c>
      <c r="C7" s="1" t="s">
        <v>8</v>
      </c>
      <c r="D7" s="1">
        <v>3</v>
      </c>
      <c r="E7" s="2">
        <v>42000</v>
      </c>
      <c r="F7" s="1">
        <v>5</v>
      </c>
      <c r="G7" s="5">
        <f t="shared" si="0"/>
        <v>840</v>
      </c>
      <c r="H7">
        <f t="shared" si="1"/>
        <v>125</v>
      </c>
      <c r="I7" s="6">
        <f t="shared" si="2"/>
        <v>42965</v>
      </c>
    </row>
    <row r="8" spans="1:9" ht="15.75" thickBot="1" x14ac:dyDescent="0.3">
      <c r="A8" s="1" t="s">
        <v>22</v>
      </c>
      <c r="B8" s="1" t="s">
        <v>23</v>
      </c>
      <c r="C8" s="1" t="s">
        <v>11</v>
      </c>
      <c r="D8" s="1">
        <v>1</v>
      </c>
      <c r="E8" s="2">
        <v>46000</v>
      </c>
      <c r="F8" s="1">
        <v>0</v>
      </c>
      <c r="G8" s="5">
        <f t="shared" si="0"/>
        <v>920</v>
      </c>
      <c r="H8">
        <f t="shared" si="1"/>
        <v>0</v>
      </c>
      <c r="I8" s="6">
        <f t="shared" si="2"/>
        <v>46920</v>
      </c>
    </row>
    <row r="9" spans="1:9" x14ac:dyDescent="0.25">
      <c r="E9" s="6">
        <f>AVERAGE(E2:E8)</f>
        <v>49142.857142857145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topLeftCell="A7" workbookViewId="0">
      <selection activeCell="B14" sqref="B14"/>
    </sheetView>
  </sheetViews>
  <sheetFormatPr defaultRowHeight="15" x14ac:dyDescent="0.25"/>
  <cols>
    <col min="1" max="1" width="8.5703125" bestFit="1" customWidth="1"/>
    <col min="4" max="4" width="8.85546875" bestFit="1" customWidth="1"/>
    <col min="5" max="5" width="9" bestFit="1" customWidth="1"/>
    <col min="6" max="6" width="8.7109375" bestFit="1" customWidth="1"/>
  </cols>
  <sheetData>
    <row r="1" spans="1:6" ht="75.75" thickBo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29.25" thickBot="1" x14ac:dyDescent="0.3">
      <c r="A2" s="8" t="s">
        <v>6</v>
      </c>
      <c r="B2" s="8" t="s">
        <v>7</v>
      </c>
      <c r="C2" s="8" t="s">
        <v>8</v>
      </c>
      <c r="D2" s="8">
        <v>4</v>
      </c>
      <c r="E2" s="8">
        <v>45000</v>
      </c>
      <c r="F2" s="8">
        <v>12</v>
      </c>
    </row>
    <row r="3" spans="1:6" ht="29.25" thickBot="1" x14ac:dyDescent="0.3">
      <c r="A3" s="8" t="s">
        <v>9</v>
      </c>
      <c r="B3" s="8" t="s">
        <v>10</v>
      </c>
      <c r="C3" s="8" t="s">
        <v>11</v>
      </c>
      <c r="D3" s="8">
        <v>3</v>
      </c>
      <c r="E3" s="8">
        <v>48000</v>
      </c>
      <c r="F3" s="8">
        <v>0</v>
      </c>
    </row>
    <row r="4" spans="1:6" ht="29.25" thickBot="1" x14ac:dyDescent="0.3">
      <c r="A4" s="8" t="s">
        <v>12</v>
      </c>
      <c r="B4" s="8" t="s">
        <v>13</v>
      </c>
      <c r="C4" s="8" t="s">
        <v>14</v>
      </c>
      <c r="D4" s="8">
        <v>5</v>
      </c>
      <c r="E4" s="8">
        <v>65000</v>
      </c>
      <c r="F4" s="8">
        <v>8</v>
      </c>
    </row>
    <row r="5" spans="1:6" ht="29.25" thickBot="1" x14ac:dyDescent="0.3">
      <c r="A5" s="8" t="s">
        <v>15</v>
      </c>
      <c r="B5" s="8" t="s">
        <v>16</v>
      </c>
      <c r="C5" s="8" t="s">
        <v>17</v>
      </c>
      <c r="D5" s="8">
        <v>2</v>
      </c>
      <c r="E5" s="8">
        <v>40000</v>
      </c>
      <c r="F5" s="8">
        <v>2</v>
      </c>
    </row>
    <row r="6" spans="1:6" ht="29.25" thickBot="1" x14ac:dyDescent="0.3">
      <c r="A6" s="8" t="s">
        <v>18</v>
      </c>
      <c r="B6" s="8" t="s">
        <v>19</v>
      </c>
      <c r="C6" s="8" t="s">
        <v>14</v>
      </c>
      <c r="D6" s="8">
        <v>4</v>
      </c>
      <c r="E6" s="8">
        <v>58000</v>
      </c>
      <c r="F6" s="8">
        <v>15</v>
      </c>
    </row>
    <row r="7" spans="1:6" ht="29.25" thickBot="1" x14ac:dyDescent="0.3">
      <c r="A7" s="8" t="s">
        <v>20</v>
      </c>
      <c r="B7" s="8" t="s">
        <v>21</v>
      </c>
      <c r="C7" s="8" t="s">
        <v>8</v>
      </c>
      <c r="D7" s="8">
        <v>3</v>
      </c>
      <c r="E7" s="8">
        <v>42000</v>
      </c>
      <c r="F7" s="8">
        <v>5</v>
      </c>
    </row>
    <row r="8" spans="1:6" ht="29.25" thickBot="1" x14ac:dyDescent="0.3">
      <c r="A8" s="8" t="s">
        <v>22</v>
      </c>
      <c r="B8" s="8" t="s">
        <v>23</v>
      </c>
      <c r="C8" s="8" t="s">
        <v>11</v>
      </c>
      <c r="D8" s="8">
        <v>1</v>
      </c>
      <c r="E8" s="8">
        <v>46000</v>
      </c>
      <c r="F8" s="8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Solution</vt:lpstr>
      <vt:lpstr>Quetion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kumar</dc:creator>
  <cp:lastModifiedBy>vishal kumar</cp:lastModifiedBy>
  <dcterms:created xsi:type="dcterms:W3CDTF">2026-06-20T04:37:14Z</dcterms:created>
  <dcterms:modified xsi:type="dcterms:W3CDTF">2026-06-20T05:05:41Z</dcterms:modified>
</cp:coreProperties>
</file>